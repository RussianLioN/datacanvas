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/>
  </mc:AlternateContent>
  <xr:revisionPtr revIDLastSave="0" documentId="13_ncr:1_{D279FBBC-C5F7-F24B-9F49-E3424630F933}" xr6:coauthVersionLast="47" xr6:coauthVersionMax="47" xr10:uidLastSave="{00000000-0000-0000-0000-000000000000}"/>
  <bookViews>
    <workbookView xWindow="19260" yWindow="660" windowWidth="18980" windowHeight="19100" xr2:uid="{00000000-000D-0000-FFFF-FFFF00000000}"/>
  </bookViews>
  <sheets>
    <sheet name="Лист1" sheetId="1" r:id="rId1"/>
  </sheets>
  <definedNames>
    <definedName name="_xlnm._FilterDatabase" localSheetId="0" hidden="1">Лист1!$B$3:$U$26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5" i="1"/>
  <c r="H6" i="1"/>
  <c r="H7" i="1"/>
  <c r="H8" i="1"/>
  <c r="H9" i="1"/>
  <c r="H10" i="1"/>
  <c r="H11" i="1"/>
  <c r="H12" i="1"/>
  <c r="H4" i="1"/>
  <c r="I2" i="1" l="1"/>
  <c r="J2" i="1"/>
  <c r="J1" i="1" s="1"/>
  <c r="K2" i="1"/>
  <c r="K1" i="1" s="1"/>
  <c r="L2" i="1"/>
  <c r="L1" i="1" s="1"/>
  <c r="M2" i="1"/>
  <c r="M1" i="1" s="1"/>
  <c r="N2" i="1"/>
  <c r="N1" i="1" s="1"/>
  <c r="O2" i="1"/>
  <c r="O1" i="1" s="1"/>
  <c r="P2" i="1"/>
  <c r="P1" i="1" s="1"/>
  <c r="Q2" i="1"/>
  <c r="Q1" i="1" s="1"/>
  <c r="R2" i="1"/>
  <c r="R1" i="1" s="1"/>
  <c r="S2" i="1"/>
  <c r="S1" i="1" s="1"/>
  <c r="T2" i="1"/>
  <c r="T1" i="1" s="1"/>
  <c r="U2" i="1"/>
  <c r="U1" i="1" s="1"/>
  <c r="D2" i="1" l="1"/>
  <c r="F2" i="1"/>
  <c r="I1" i="1"/>
  <c r="F1" i="1" l="1"/>
  <c r="D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Кружилин Сергей Владимирович</author>
  </authors>
  <commentList>
    <comment ref="S3" authorId="0" shapeId="0" xr:uid="{8E1BFA17-F140-8E4E-90E7-6A1B42042B62}">
      <text>
        <r>
          <rPr>
            <b/>
            <sz val="10"/>
            <color rgb="FF000000"/>
            <rFont val="Tahoma"/>
            <family val="2"/>
            <charset val="204"/>
          </rPr>
          <t>Кружилин Сергей Владимирович: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Александров А</t>
        </r>
      </text>
    </comment>
    <comment ref="T3" authorId="0" shapeId="0" xr:uid="{030ACA2C-45B8-BB4B-A1EA-D3C43B8836EC}">
      <text>
        <r>
          <rPr>
            <b/>
            <sz val="10"/>
            <color rgb="FF000000"/>
            <rFont val="Tahoma"/>
            <family val="2"/>
            <charset val="204"/>
          </rPr>
          <t>Кружилин Сергей Владимирович: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Александров А</t>
        </r>
      </text>
    </comment>
    <comment ref="U3" authorId="0" shapeId="0" xr:uid="{749F22FC-68DF-1F44-9B37-AA316CEAC571}">
      <text>
        <r>
          <rPr>
            <b/>
            <sz val="10"/>
            <color rgb="FF000000"/>
            <rFont val="Tahoma"/>
            <family val="2"/>
            <charset val="204"/>
          </rPr>
          <t>Кружилин Сергей Владимирович: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Александров А</t>
        </r>
      </text>
    </comment>
  </commentList>
</comments>
</file>

<file path=xl/sharedStrings.xml><?xml version="1.0" encoding="utf-8"?>
<sst xmlns="http://schemas.openxmlformats.org/spreadsheetml/2006/main" count="104" uniqueCount="69">
  <si>
    <t>Название Story</t>
  </si>
  <si>
    <t>Комментарии</t>
  </si>
  <si>
    <t>Бизнес ценность</t>
  </si>
  <si>
    <t>БА</t>
  </si>
  <si>
    <t>СА ЕФС</t>
  </si>
  <si>
    <t>PL ЕФС</t>
  </si>
  <si>
    <t>Дизайн</t>
  </si>
  <si>
    <t>ВН ЕФС</t>
  </si>
  <si>
    <t>Смежный сервис</t>
  </si>
  <si>
    <t>СА Оркестратор</t>
  </si>
  <si>
    <t>DEV Оркестратор</t>
  </si>
  <si>
    <t>СА AEF Containers</t>
  </si>
  <si>
    <t>DEV AEF Containers</t>
  </si>
  <si>
    <t>Я, как пользователь хочу иметь возможность:</t>
  </si>
  <si>
    <t>в Лисе выбирать сообщения в чате (полученные от других агентов/инструментов)  и отправлять запрос на изготовление презентации (в DataCanvas)</t>
  </si>
  <si>
    <t>Подача данных на вход</t>
  </si>
  <si>
    <t>это позволит мне оформлять презентацию только из нужной информации</t>
  </si>
  <si>
    <t>после диалога с другими агентами и полученной от этих агентов информации, делать запрос в простом текстовом виде, начиная с фразы "Сделай презентацию..."</t>
  </si>
  <si>
    <t>это позволит мне начать делать презентацию после получения необходимой для презенации информации</t>
  </si>
  <si>
    <t>дополнить свой запрос на презентацию параметрами оформления презентации в простом текстовом запросе в дополнение к фразе "Сделай презентацию..."</t>
  </si>
  <si>
    <t>Уточнение вида прзентации</t>
  </si>
  <si>
    <t>это позволит мне получить презентацию в нужном мне оформлении</t>
  </si>
  <si>
    <t>после начала работы агента DataCanvas получать от этого агента запросы при недостаточной информации на входе</t>
  </si>
  <si>
    <t>это позволит мне начать работу с агентом постепенно уточняя свой запрос</t>
  </si>
  <si>
    <t>при начале диалога (начало сессии) с Лисой отправлять текстовый запрос "сделай презентацию..", на который агент DataCanvas ответит запросом/диалогом для уточнения данных, по которым надо сделать презентацию</t>
  </si>
  <si>
    <t>это позволит мне собрать данные для презентации</t>
  </si>
  <si>
    <t>нажать кнопку в Лисе "Сделать презентацию" и получить от агента запрос, по каким данным надо сделать презентацию</t>
  </si>
  <si>
    <t>Выбирать формат и шаблон презентации по предложенным агентом DataCanvas</t>
  </si>
  <si>
    <t>это позволит мне оформить презентацию в нужном виде</t>
  </si>
  <si>
    <t>Выбирать шаблон презентации по предложенным картинкам агентом DataCanvas</t>
  </si>
  <si>
    <t>выбирать из готового набора данных нужные мне группы данных и конкретные параметры по каждой группе, которые пойдут в формирование презентации</t>
  </si>
  <si>
    <t>это позволит мне видеть на одном экране доступные данные и выбирать нужные данные для презентации</t>
  </si>
  <si>
    <t>получать пуш уведомления из приложения Лиса о готовности прзентации</t>
  </si>
  <si>
    <t>Получение результата</t>
  </si>
  <si>
    <t>это позволит мне своевременно получать информацию о готовности презентации</t>
  </si>
  <si>
    <t>получать готовую презентацию на почту</t>
  </si>
  <si>
    <t>это позволит мне использовать полученную презентацию в работе</t>
  </si>
  <si>
    <t>Просматривать презентацию в ЛИСе</t>
  </si>
  <si>
    <t>Движок: получать описание презентации по слайдам, блокам на слайдах и информации</t>
  </si>
  <si>
    <t>это позволит мне оценить достаточность данных на презентации и порядок представления данных</t>
  </si>
  <si>
    <t>по полученному описанию презентации вносить правки:</t>
  </si>
  <si>
    <t>**это позволит мне** исправлять и оптимизировать верстку презентации в нужном мне виде</t>
  </si>
  <si>
    <t>получать несколько вариантов оформления презентаций</t>
  </si>
  <si>
    <t>это позволит мне выбрать подходящий мне вариант презентации</t>
  </si>
  <si>
    <t>в ответном письме на полученную по почте презентацию запрашивать внесение изменений в эту презентацию</t>
  </si>
  <si>
    <t>Исправлеине результата</t>
  </si>
  <si>
    <t>это позволит мне получить мне нужный вариант презентации</t>
  </si>
  <si>
    <t>получать в переписке с агентом исправленный по моему запросу вариант презентации</t>
  </si>
  <si>
    <t>это позволит мне в удобном для меня формате получить нужный вариант презентации и применить его в работе</t>
  </si>
  <si>
    <t>Приоритеты</t>
  </si>
  <si>
    <t>P1</t>
  </si>
  <si>
    <t>P2</t>
  </si>
  <si>
    <t>Ядро</t>
  </si>
  <si>
    <t>Ядро: менять последовательность слайдов</t>
  </si>
  <si>
    <t>Ядро: дополнять блоки информации</t>
  </si>
  <si>
    <t>Ядро: менять последовательность блоков информации</t>
  </si>
  <si>
    <t>Ядро: менять расположение блоков информации</t>
  </si>
  <si>
    <t>Ядро: добавлять графические представления данных в виде диаграмм</t>
  </si>
  <si>
    <t>Ядро: удалять лишнюю информацию</t>
  </si>
  <si>
    <t>P3</t>
  </si>
  <si>
    <t>P5</t>
  </si>
  <si>
    <t>P4</t>
  </si>
  <si>
    <t>это позволит мне в одном чате увидеть результат работы агента и дать обратную связь</t>
  </si>
  <si>
    <t>Итого, ПШЕ, чел/дн:</t>
  </si>
  <si>
    <t>Оценка реалистичного сценария, ПШЕ, чел/дн:</t>
  </si>
  <si>
    <t>Срок</t>
  </si>
  <si>
    <t>QA</t>
  </si>
  <si>
    <t>AQA</t>
  </si>
  <si>
    <t>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</si>
</sst>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9" x14ac:knownFonts="1">
    <font>
      <sz val="12"/>
      <color theme="1"/>
      <name val="Calibri"/>
      <scheme val="minor"/>
    </font>
    <font>
      <sz val="12"/>
      <name val="Calibri Light"/>
      <scheme val="major"/>
    </font>
    <font>
      <b/>
      <sz val="12"/>
      <name val="Calibri Light"/>
      <scheme val="major"/>
    </font>
    <font>
      <sz val="12"/>
      <color theme="1"/>
      <name val="Calibri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0" tint="-0.249977111117893"/>
      <name val="Calibri Light"/>
      <family val="2"/>
      <scheme val="maj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7" fontId="4" fillId="0" borderId="0" xfId="1" applyNumberFormat="1" applyFont="1" applyAlignment="1">
      <alignment vertical="center" wrapText="1"/>
    </xf>
    <xf numFmtId="167" fontId="1" fillId="0" borderId="0" xfId="1" applyNumberFormat="1" applyFont="1" applyAlignment="1">
      <alignment vertical="center" wrapText="1"/>
    </xf>
    <xf numFmtId="167" fontId="1" fillId="3" borderId="0" xfId="1" applyNumberFormat="1" applyFont="1" applyFill="1" applyAlignment="1">
      <alignment vertical="center" wrapText="1"/>
    </xf>
    <xf numFmtId="167" fontId="5" fillId="3" borderId="0" xfId="1" applyNumberFormat="1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"/>
  <sheetViews>
    <sheetView tabSelected="1" topLeftCell="C1" zoomScale="130" workbookViewId="0">
      <pane ySplit="3" topLeftCell="A6" activePane="bottomLeft" state="frozen"/>
      <selection activeCell="H3" sqref="H3"/>
      <selection pane="bottomLeft" activeCell="H4" sqref="H4:H12"/>
    </sheetView>
  </sheetViews>
  <sheetFormatPr baseColWidth="10" defaultColWidth="40" defaultRowHeight="16" x14ac:dyDescent="0.2"/>
  <cols>
    <col min="1" max="1" width="6.6640625" style="1" customWidth="1"/>
    <col min="2" max="2" width="27.83203125" style="1" bestFit="1" customWidth="1"/>
    <col min="3" max="3" width="40" style="1"/>
    <col min="4" max="4" width="18.6640625" style="1" bestFit="1" customWidth="1"/>
    <col min="5" max="5" width="40" style="1"/>
    <col min="6" max="6" width="11.5" style="1" bestFit="1" customWidth="1"/>
    <col min="7" max="8" width="11.5" style="1" customWidth="1"/>
    <col min="9" max="9" width="8.33203125" style="1" bestFit="1" customWidth="1"/>
    <col min="10" max="10" width="12.1640625" style="1" bestFit="1" customWidth="1"/>
    <col min="11" max="11" width="11.83203125" style="1" bestFit="1" customWidth="1"/>
    <col min="12" max="13" width="12.33203125" style="1" bestFit="1" customWidth="1"/>
    <col min="14" max="14" width="14.1640625" style="1" bestFit="1" customWidth="1"/>
    <col min="15" max="16" width="13" style="1" customWidth="1"/>
    <col min="17" max="18" width="14.83203125" style="1" bestFit="1" customWidth="1"/>
    <col min="19" max="19" width="8.6640625" style="1" bestFit="1" customWidth="1"/>
    <col min="20" max="20" width="9.83203125" style="1" bestFit="1" customWidth="1"/>
    <col min="21" max="21" width="8.33203125" style="1" bestFit="1" customWidth="1"/>
    <col min="22" max="16384" width="40" style="1"/>
  </cols>
  <sheetData>
    <row r="1" spans="1:21" ht="34" x14ac:dyDescent="0.2">
      <c r="C1" s="10">
        <v>2</v>
      </c>
      <c r="D1" s="12">
        <f>SUM(I1,Q1:T1)</f>
        <v>91</v>
      </c>
      <c r="E1" s="5" t="s">
        <v>64</v>
      </c>
      <c r="F1" s="12">
        <f>SUM(I1:U1)</f>
        <v>106.6</v>
      </c>
      <c r="G1" s="12"/>
      <c r="H1" s="12"/>
      <c r="I1" s="15">
        <f>I2*$C$1</f>
        <v>13</v>
      </c>
      <c r="J1" s="13">
        <f>J2*$C$1</f>
        <v>2</v>
      </c>
      <c r="K1" s="13">
        <f>K2*$C$1</f>
        <v>0</v>
      </c>
      <c r="L1" s="13">
        <f>L2*$C$1</f>
        <v>0</v>
      </c>
      <c r="M1" s="13">
        <f>M2*$C$1</f>
        <v>0</v>
      </c>
      <c r="N1" s="13">
        <f>N2*$C$1</f>
        <v>0</v>
      </c>
      <c r="O1" s="13">
        <f>O2*$C$1</f>
        <v>2</v>
      </c>
      <c r="P1" s="13">
        <f>P2*$C$1</f>
        <v>6</v>
      </c>
      <c r="Q1" s="14">
        <f>Q2*$C$1</f>
        <v>14</v>
      </c>
      <c r="R1" s="14">
        <f>R2*$C$1</f>
        <v>24</v>
      </c>
      <c r="S1" s="14">
        <f>S2*$C$1</f>
        <v>20</v>
      </c>
      <c r="T1" s="14">
        <f>T2*$C$1</f>
        <v>20</v>
      </c>
      <c r="U1" s="13">
        <f>U2*$C$1</f>
        <v>5.6</v>
      </c>
    </row>
    <row r="2" spans="1:21" ht="34" x14ac:dyDescent="0.2">
      <c r="B2" s="17" t="s">
        <v>13</v>
      </c>
      <c r="D2" s="12">
        <f>SUM(I2,Q2:T2)</f>
        <v>45.5</v>
      </c>
      <c r="E2" s="5" t="s">
        <v>63</v>
      </c>
      <c r="F2" s="12">
        <f>SUM(I2:U2)</f>
        <v>53.3</v>
      </c>
      <c r="G2" s="12"/>
      <c r="H2" s="12"/>
      <c r="I2" s="14">
        <f t="shared" ref="I2:U2" si="0">SUBTOTAL(9,I$4:I$500)</f>
        <v>6.5</v>
      </c>
      <c r="J2" s="13">
        <f t="shared" si="0"/>
        <v>1</v>
      </c>
      <c r="K2" s="13">
        <f t="shared" si="0"/>
        <v>0</v>
      </c>
      <c r="L2" s="13">
        <f t="shared" si="0"/>
        <v>0</v>
      </c>
      <c r="M2" s="13">
        <f t="shared" si="0"/>
        <v>0</v>
      </c>
      <c r="N2" s="13">
        <f t="shared" si="0"/>
        <v>0</v>
      </c>
      <c r="O2" s="13">
        <f t="shared" si="0"/>
        <v>1</v>
      </c>
      <c r="P2" s="13">
        <f t="shared" si="0"/>
        <v>3</v>
      </c>
      <c r="Q2" s="14">
        <f t="shared" si="0"/>
        <v>7</v>
      </c>
      <c r="R2" s="14">
        <f t="shared" si="0"/>
        <v>12</v>
      </c>
      <c r="S2" s="14">
        <f t="shared" si="0"/>
        <v>10</v>
      </c>
      <c r="T2" s="14">
        <f t="shared" si="0"/>
        <v>10</v>
      </c>
      <c r="U2" s="13">
        <f t="shared" si="0"/>
        <v>2.8</v>
      </c>
    </row>
    <row r="3" spans="1:21" s="2" customFormat="1" ht="34" x14ac:dyDescent="0.2">
      <c r="A3" s="7"/>
      <c r="B3" s="7"/>
      <c r="C3" s="8" t="s">
        <v>0</v>
      </c>
      <c r="D3" s="8" t="s">
        <v>1</v>
      </c>
      <c r="E3" s="8" t="s">
        <v>2</v>
      </c>
      <c r="F3" s="9" t="s">
        <v>49</v>
      </c>
      <c r="G3" s="9" t="s">
        <v>65</v>
      </c>
      <c r="H3" s="9"/>
      <c r="I3" s="7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  <c r="O3" s="7" t="s">
        <v>9</v>
      </c>
      <c r="P3" s="7" t="s">
        <v>10</v>
      </c>
      <c r="Q3" s="20" t="s">
        <v>11</v>
      </c>
      <c r="R3" s="7" t="s">
        <v>12</v>
      </c>
      <c r="S3" s="20" t="s">
        <v>66</v>
      </c>
      <c r="T3" s="20" t="s">
        <v>67</v>
      </c>
      <c r="U3" s="20" t="s">
        <v>68</v>
      </c>
    </row>
    <row r="4" spans="1:21" ht="51" x14ac:dyDescent="0.2">
      <c r="B4" s="17"/>
      <c r="C4" s="1" t="s">
        <v>38</v>
      </c>
      <c r="D4" s="4" t="s">
        <v>52</v>
      </c>
      <c r="E4" s="1" t="s">
        <v>39</v>
      </c>
      <c r="F4" s="6" t="s">
        <v>50</v>
      </c>
      <c r="G4" s="19">
        <v>46251</v>
      </c>
      <c r="H4" s="11">
        <f>SUM(I4:U4)*$C$1</f>
        <v>21.4</v>
      </c>
      <c r="I4" s="16">
        <v>1</v>
      </c>
      <c r="J4" s="3"/>
      <c r="K4" s="3"/>
      <c r="L4" s="3"/>
      <c r="M4" s="3"/>
      <c r="N4" s="3"/>
      <c r="O4" s="3">
        <v>1</v>
      </c>
      <c r="P4" s="3">
        <v>3</v>
      </c>
      <c r="Q4" s="16">
        <v>1</v>
      </c>
      <c r="R4" s="16">
        <v>2</v>
      </c>
      <c r="S4" s="16">
        <v>1</v>
      </c>
      <c r="T4" s="16">
        <v>1</v>
      </c>
      <c r="U4" s="3">
        <v>0.7</v>
      </c>
    </row>
    <row r="5" spans="1:21" ht="51" x14ac:dyDescent="0.2">
      <c r="B5" s="17"/>
      <c r="C5" s="18" t="s">
        <v>40</v>
      </c>
      <c r="D5" s="4" t="s">
        <v>54</v>
      </c>
      <c r="E5" s="1" t="s">
        <v>41</v>
      </c>
      <c r="F5" s="6" t="s">
        <v>50</v>
      </c>
      <c r="G5" s="19">
        <v>46251</v>
      </c>
      <c r="H5" s="11">
        <f t="shared" ref="H5:H26" si="1">SUM(I5:U5)*$C$1</f>
        <v>13.4</v>
      </c>
      <c r="I5" s="16">
        <v>1</v>
      </c>
      <c r="J5" s="3"/>
      <c r="K5" s="3"/>
      <c r="L5" s="3"/>
      <c r="M5" s="3"/>
      <c r="N5" s="3"/>
      <c r="O5" s="3"/>
      <c r="P5" s="3"/>
      <c r="Q5" s="16">
        <v>1</v>
      </c>
      <c r="R5" s="16">
        <v>2</v>
      </c>
      <c r="S5" s="16">
        <v>1</v>
      </c>
      <c r="T5" s="16">
        <v>1</v>
      </c>
      <c r="U5" s="3">
        <v>0.7</v>
      </c>
    </row>
    <row r="6" spans="1:21" ht="51" x14ac:dyDescent="0.2">
      <c r="B6" s="17"/>
      <c r="C6" s="18" t="s">
        <v>40</v>
      </c>
      <c r="D6" s="4" t="s">
        <v>56</v>
      </c>
      <c r="F6" s="6" t="s">
        <v>50</v>
      </c>
      <c r="G6" s="19">
        <v>46251</v>
      </c>
      <c r="H6" s="11">
        <f t="shared" si="1"/>
        <v>13.4</v>
      </c>
      <c r="I6" s="16">
        <v>1</v>
      </c>
      <c r="J6" s="3"/>
      <c r="K6" s="3"/>
      <c r="L6" s="3"/>
      <c r="M6" s="3"/>
      <c r="N6" s="3"/>
      <c r="O6" s="3"/>
      <c r="P6" s="3"/>
      <c r="Q6" s="16">
        <v>1</v>
      </c>
      <c r="R6" s="16">
        <v>2</v>
      </c>
      <c r="S6" s="16">
        <v>1</v>
      </c>
      <c r="T6" s="16">
        <v>1</v>
      </c>
      <c r="U6" s="3">
        <v>0.7</v>
      </c>
    </row>
    <row r="7" spans="1:21" ht="51" x14ac:dyDescent="0.2">
      <c r="B7" s="17"/>
      <c r="C7" s="18" t="s">
        <v>40</v>
      </c>
      <c r="D7" s="4" t="s">
        <v>58</v>
      </c>
      <c r="F7" s="6" t="s">
        <v>50</v>
      </c>
      <c r="G7" s="19">
        <v>46251</v>
      </c>
      <c r="H7" s="11">
        <f t="shared" si="1"/>
        <v>13.4</v>
      </c>
      <c r="I7" s="16">
        <v>1</v>
      </c>
      <c r="J7" s="3"/>
      <c r="K7" s="3"/>
      <c r="L7" s="3"/>
      <c r="M7" s="3"/>
      <c r="N7" s="3"/>
      <c r="O7" s="3"/>
      <c r="P7" s="3"/>
      <c r="Q7" s="16">
        <v>1</v>
      </c>
      <c r="R7" s="16">
        <v>2</v>
      </c>
      <c r="S7" s="16">
        <v>1</v>
      </c>
      <c r="T7" s="16">
        <v>1</v>
      </c>
      <c r="U7" s="3">
        <v>0.7</v>
      </c>
    </row>
    <row r="8" spans="1:21" ht="68" x14ac:dyDescent="0.2">
      <c r="B8" s="17"/>
      <c r="C8" s="1" t="s">
        <v>17</v>
      </c>
      <c r="D8" s="1" t="s">
        <v>15</v>
      </c>
      <c r="E8" s="1" t="s">
        <v>18</v>
      </c>
      <c r="F8" s="6" t="s">
        <v>51</v>
      </c>
      <c r="G8" s="19">
        <v>46251</v>
      </c>
      <c r="H8" s="11">
        <f t="shared" si="1"/>
        <v>6</v>
      </c>
      <c r="I8" s="16">
        <v>0.5</v>
      </c>
      <c r="J8" s="3">
        <v>0.5</v>
      </c>
      <c r="K8" s="3"/>
      <c r="L8" s="3"/>
      <c r="M8" s="3"/>
      <c r="N8" s="3"/>
      <c r="O8" s="3"/>
      <c r="P8" s="3"/>
      <c r="Q8" s="16"/>
      <c r="R8" s="16"/>
      <c r="S8" s="16">
        <v>1</v>
      </c>
      <c r="T8" s="16">
        <v>1</v>
      </c>
      <c r="U8" s="3"/>
    </row>
    <row r="9" spans="1:21" ht="51" customHeight="1" x14ac:dyDescent="0.2">
      <c r="B9" s="17"/>
      <c r="C9" s="1" t="s">
        <v>22</v>
      </c>
      <c r="D9" s="1" t="s">
        <v>15</v>
      </c>
      <c r="E9" s="1" t="s">
        <v>23</v>
      </c>
      <c r="F9" s="6" t="s">
        <v>51</v>
      </c>
      <c r="G9" s="19">
        <v>46279</v>
      </c>
      <c r="H9" s="11">
        <f t="shared" si="1"/>
        <v>8</v>
      </c>
      <c r="I9" s="16">
        <v>0.5</v>
      </c>
      <c r="J9" s="3"/>
      <c r="K9" s="3"/>
      <c r="L9" s="3"/>
      <c r="M9" s="3"/>
      <c r="N9" s="3"/>
      <c r="O9" s="3"/>
      <c r="P9" s="3"/>
      <c r="Q9" s="16">
        <v>0.5</v>
      </c>
      <c r="R9" s="16">
        <v>1</v>
      </c>
      <c r="S9" s="16">
        <v>1</v>
      </c>
      <c r="T9" s="16">
        <v>1</v>
      </c>
      <c r="U9" s="3"/>
    </row>
    <row r="10" spans="1:21" ht="102" x14ac:dyDescent="0.2">
      <c r="B10" s="17"/>
      <c r="C10" s="1" t="s">
        <v>24</v>
      </c>
      <c r="D10" s="1" t="s">
        <v>15</v>
      </c>
      <c r="E10" s="1" t="s">
        <v>25</v>
      </c>
      <c r="F10" s="6" t="s">
        <v>51</v>
      </c>
      <c r="G10" s="19">
        <v>46279</v>
      </c>
      <c r="H10" s="11">
        <f t="shared" si="1"/>
        <v>8</v>
      </c>
      <c r="I10" s="16">
        <v>0.5</v>
      </c>
      <c r="J10" s="3"/>
      <c r="K10" s="3"/>
      <c r="L10" s="3"/>
      <c r="M10" s="3"/>
      <c r="N10" s="3"/>
      <c r="O10" s="3"/>
      <c r="P10" s="3"/>
      <c r="Q10" s="16">
        <v>0.5</v>
      </c>
      <c r="R10" s="16">
        <v>1</v>
      </c>
      <c r="S10" s="16">
        <v>1</v>
      </c>
      <c r="T10" s="16">
        <v>1</v>
      </c>
      <c r="U10" s="3"/>
    </row>
    <row r="11" spans="1:21" ht="34" x14ac:dyDescent="0.2">
      <c r="B11" s="17"/>
      <c r="C11" s="1" t="s">
        <v>27</v>
      </c>
      <c r="D11" s="1" t="s">
        <v>20</v>
      </c>
      <c r="E11" s="1" t="s">
        <v>28</v>
      </c>
      <c r="F11" s="6" t="s">
        <v>51</v>
      </c>
      <c r="G11" s="19">
        <v>46279</v>
      </c>
      <c r="H11" s="11">
        <f t="shared" si="1"/>
        <v>6</v>
      </c>
      <c r="I11" s="16">
        <v>0.5</v>
      </c>
      <c r="J11" s="3">
        <v>0.5</v>
      </c>
      <c r="K11" s="3"/>
      <c r="L11" s="3"/>
      <c r="M11" s="3"/>
      <c r="N11" s="3"/>
      <c r="O11" s="3"/>
      <c r="P11" s="3"/>
      <c r="Q11" s="16"/>
      <c r="R11" s="16"/>
      <c r="S11" s="16">
        <v>1</v>
      </c>
      <c r="T11" s="16">
        <v>1</v>
      </c>
      <c r="U11" s="3"/>
    </row>
    <row r="12" spans="1:21" ht="34" x14ac:dyDescent="0.2">
      <c r="B12" s="17"/>
      <c r="C12" s="1" t="s">
        <v>35</v>
      </c>
      <c r="D12" s="1" t="s">
        <v>33</v>
      </c>
      <c r="E12" s="1" t="s">
        <v>36</v>
      </c>
      <c r="F12" s="6" t="s">
        <v>51</v>
      </c>
      <c r="G12" s="19">
        <v>46272</v>
      </c>
      <c r="H12" s="11">
        <f t="shared" si="1"/>
        <v>17</v>
      </c>
      <c r="I12" s="16">
        <v>0.5</v>
      </c>
      <c r="J12" s="3"/>
      <c r="K12" s="3"/>
      <c r="L12" s="3"/>
      <c r="M12" s="3"/>
      <c r="N12" s="3"/>
      <c r="O12" s="3"/>
      <c r="P12" s="3"/>
      <c r="Q12" s="16">
        <v>2</v>
      </c>
      <c r="R12" s="16">
        <v>2</v>
      </c>
      <c r="S12" s="16">
        <v>2</v>
      </c>
      <c r="T12" s="16">
        <v>2</v>
      </c>
      <c r="U12" s="3"/>
    </row>
    <row r="13" spans="1:21" ht="51" hidden="1" x14ac:dyDescent="0.2">
      <c r="B13" s="17"/>
      <c r="C13" s="18" t="s">
        <v>40</v>
      </c>
      <c r="D13" s="4" t="s">
        <v>53</v>
      </c>
      <c r="F13" s="6" t="s">
        <v>59</v>
      </c>
      <c r="G13" s="6"/>
      <c r="H13" s="11">
        <f t="shared" si="1"/>
        <v>13.4</v>
      </c>
      <c r="I13" s="16">
        <v>1</v>
      </c>
      <c r="J13" s="3"/>
      <c r="K13" s="3"/>
      <c r="L13" s="3"/>
      <c r="M13" s="3"/>
      <c r="N13" s="3"/>
      <c r="O13" s="3"/>
      <c r="P13" s="3"/>
      <c r="Q13" s="16">
        <v>1</v>
      </c>
      <c r="R13" s="16">
        <v>2</v>
      </c>
      <c r="S13" s="16">
        <v>1</v>
      </c>
      <c r="T13" s="16">
        <v>1</v>
      </c>
      <c r="U13" s="3">
        <v>0.7</v>
      </c>
    </row>
    <row r="14" spans="1:21" ht="51" hidden="1" x14ac:dyDescent="0.2">
      <c r="B14" s="17"/>
      <c r="C14" s="18" t="s">
        <v>40</v>
      </c>
      <c r="D14" s="4" t="s">
        <v>55</v>
      </c>
      <c r="F14" s="6" t="s">
        <v>59</v>
      </c>
      <c r="G14" s="6"/>
      <c r="H14" s="11">
        <f t="shared" si="1"/>
        <v>13.4</v>
      </c>
      <c r="I14" s="16">
        <v>1</v>
      </c>
      <c r="J14" s="3"/>
      <c r="K14" s="3"/>
      <c r="L14" s="3"/>
      <c r="M14" s="3"/>
      <c r="N14" s="3"/>
      <c r="O14" s="3"/>
      <c r="P14" s="3"/>
      <c r="Q14" s="16">
        <v>1</v>
      </c>
      <c r="R14" s="16">
        <v>2</v>
      </c>
      <c r="S14" s="16">
        <v>1</v>
      </c>
      <c r="T14" s="16">
        <v>1</v>
      </c>
      <c r="U14" s="3">
        <v>0.7</v>
      </c>
    </row>
    <row r="15" spans="1:21" ht="68" hidden="1" x14ac:dyDescent="0.2">
      <c r="B15" s="17"/>
      <c r="C15" s="1" t="s">
        <v>14</v>
      </c>
      <c r="D15" s="1" t="s">
        <v>15</v>
      </c>
      <c r="E15" s="1" t="s">
        <v>16</v>
      </c>
      <c r="F15" s="6" t="s">
        <v>59</v>
      </c>
      <c r="G15" s="6"/>
      <c r="H15" s="11">
        <f t="shared" si="1"/>
        <v>7</v>
      </c>
      <c r="I15" s="16">
        <v>0.5</v>
      </c>
      <c r="J15" s="3">
        <v>0.5</v>
      </c>
      <c r="K15" s="3">
        <v>0.5</v>
      </c>
      <c r="L15" s="3"/>
      <c r="M15" s="3"/>
      <c r="N15" s="3"/>
      <c r="O15" s="3"/>
      <c r="P15" s="3"/>
      <c r="Q15" s="16"/>
      <c r="R15" s="16"/>
      <c r="S15" s="16">
        <v>1</v>
      </c>
      <c r="T15" s="16">
        <v>1</v>
      </c>
      <c r="U15" s="3"/>
    </row>
    <row r="16" spans="1:21" ht="68" hidden="1" x14ac:dyDescent="0.2">
      <c r="B16" s="17"/>
      <c r="C16" s="1" t="s">
        <v>19</v>
      </c>
      <c r="D16" s="1" t="s">
        <v>20</v>
      </c>
      <c r="E16" s="1" t="s">
        <v>21</v>
      </c>
      <c r="F16" s="6" t="s">
        <v>59</v>
      </c>
      <c r="G16" s="6"/>
      <c r="H16" s="11">
        <f t="shared" si="1"/>
        <v>8</v>
      </c>
      <c r="I16" s="16">
        <v>0.5</v>
      </c>
      <c r="J16" s="3"/>
      <c r="K16" s="3"/>
      <c r="L16" s="3"/>
      <c r="M16" s="3"/>
      <c r="N16" s="3"/>
      <c r="O16" s="3"/>
      <c r="P16" s="3"/>
      <c r="Q16" s="16">
        <v>0.5</v>
      </c>
      <c r="R16" s="16">
        <v>1</v>
      </c>
      <c r="S16" s="16">
        <v>1</v>
      </c>
      <c r="T16" s="16">
        <v>1</v>
      </c>
      <c r="U16" s="3"/>
    </row>
    <row r="17" spans="2:21" ht="34" hidden="1" x14ac:dyDescent="0.2">
      <c r="B17" s="17"/>
      <c r="C17" s="1" t="s">
        <v>32</v>
      </c>
      <c r="D17" s="1" t="s">
        <v>33</v>
      </c>
      <c r="E17" s="1" t="s">
        <v>34</v>
      </c>
      <c r="F17" s="6" t="s">
        <v>59</v>
      </c>
      <c r="G17" s="6"/>
      <c r="H17" s="11">
        <f t="shared" si="1"/>
        <v>13</v>
      </c>
      <c r="I17" s="16">
        <v>0.5</v>
      </c>
      <c r="J17" s="3"/>
      <c r="K17" s="3"/>
      <c r="L17" s="3"/>
      <c r="M17" s="3"/>
      <c r="N17" s="3"/>
      <c r="O17" s="3"/>
      <c r="P17" s="3"/>
      <c r="Q17" s="16">
        <v>2</v>
      </c>
      <c r="R17" s="16">
        <v>2</v>
      </c>
      <c r="S17" s="16">
        <v>1</v>
      </c>
      <c r="T17" s="16">
        <v>1</v>
      </c>
      <c r="U17" s="3"/>
    </row>
    <row r="18" spans="2:21" ht="85" hidden="1" x14ac:dyDescent="0.2">
      <c r="B18" s="17"/>
      <c r="C18" s="18" t="s">
        <v>40</v>
      </c>
      <c r="D18" s="4" t="s">
        <v>57</v>
      </c>
      <c r="F18" s="6" t="s">
        <v>59</v>
      </c>
      <c r="G18" s="6"/>
      <c r="H18" s="11">
        <f t="shared" si="1"/>
        <v>13.4</v>
      </c>
      <c r="I18" s="16">
        <v>1</v>
      </c>
      <c r="J18" s="3"/>
      <c r="K18" s="3"/>
      <c r="L18" s="3"/>
      <c r="M18" s="3"/>
      <c r="N18" s="3"/>
      <c r="O18" s="3"/>
      <c r="P18" s="3"/>
      <c r="Q18" s="16">
        <v>1</v>
      </c>
      <c r="R18" s="16">
        <v>2</v>
      </c>
      <c r="S18" s="16">
        <v>1</v>
      </c>
      <c r="T18" s="16">
        <v>1</v>
      </c>
      <c r="U18" s="3">
        <v>0.7</v>
      </c>
    </row>
    <row r="19" spans="2:21" ht="34" hidden="1" x14ac:dyDescent="0.2">
      <c r="B19" s="17"/>
      <c r="C19" s="1" t="s">
        <v>42</v>
      </c>
      <c r="D19" s="1" t="s">
        <v>33</v>
      </c>
      <c r="E19" s="1" t="s">
        <v>43</v>
      </c>
      <c r="F19" s="6" t="s">
        <v>59</v>
      </c>
      <c r="G19" s="6"/>
      <c r="H19" s="11">
        <f t="shared" si="1"/>
        <v>12</v>
      </c>
      <c r="I19" s="16">
        <v>1</v>
      </c>
      <c r="J19" s="3"/>
      <c r="K19" s="3"/>
      <c r="L19" s="3"/>
      <c r="M19" s="3"/>
      <c r="N19" s="3"/>
      <c r="O19" s="3"/>
      <c r="P19" s="3"/>
      <c r="Q19" s="16">
        <v>1</v>
      </c>
      <c r="R19" s="16">
        <v>2</v>
      </c>
      <c r="S19" s="16">
        <v>1</v>
      </c>
      <c r="T19" s="16">
        <v>1</v>
      </c>
      <c r="U19" s="3"/>
    </row>
    <row r="20" spans="2:21" ht="51" hidden="1" x14ac:dyDescent="0.2">
      <c r="B20" s="17"/>
      <c r="C20" s="1" t="s">
        <v>47</v>
      </c>
      <c r="D20" s="1" t="s">
        <v>33</v>
      </c>
      <c r="E20" s="1" t="s">
        <v>48</v>
      </c>
      <c r="F20" s="6" t="s">
        <v>59</v>
      </c>
      <c r="G20" s="6"/>
      <c r="H20" s="11">
        <f t="shared" si="1"/>
        <v>76</v>
      </c>
      <c r="I20" s="16">
        <v>1</v>
      </c>
      <c r="J20" s="3">
        <v>5</v>
      </c>
      <c r="K20" s="3">
        <v>5</v>
      </c>
      <c r="L20" s="3">
        <v>3</v>
      </c>
      <c r="M20" s="3">
        <v>3</v>
      </c>
      <c r="N20" s="3"/>
      <c r="O20" s="3"/>
      <c r="P20" s="3"/>
      <c r="Q20" s="16">
        <v>5</v>
      </c>
      <c r="R20" s="16">
        <v>5</v>
      </c>
      <c r="S20" s="16">
        <v>4</v>
      </c>
      <c r="T20" s="16">
        <v>4</v>
      </c>
      <c r="U20" s="3">
        <v>3</v>
      </c>
    </row>
    <row r="21" spans="2:21" ht="51" hidden="1" x14ac:dyDescent="0.2">
      <c r="B21" s="17"/>
      <c r="C21" s="1" t="s">
        <v>26</v>
      </c>
      <c r="D21" s="1" t="s">
        <v>15</v>
      </c>
      <c r="E21" s="1" t="s">
        <v>25</v>
      </c>
      <c r="F21" s="6" t="s">
        <v>61</v>
      </c>
      <c r="G21" s="6"/>
      <c r="H21" s="11">
        <f t="shared" si="1"/>
        <v>7</v>
      </c>
      <c r="I21" s="16">
        <v>0.5</v>
      </c>
      <c r="J21" s="3">
        <v>0.5</v>
      </c>
      <c r="K21" s="3">
        <v>0.5</v>
      </c>
      <c r="L21" s="3"/>
      <c r="M21" s="3"/>
      <c r="N21" s="3"/>
      <c r="O21" s="3"/>
      <c r="P21" s="3"/>
      <c r="Q21" s="16"/>
      <c r="R21" s="16"/>
      <c r="S21" s="16">
        <v>1</v>
      </c>
      <c r="T21" s="16">
        <v>1</v>
      </c>
      <c r="U21" s="3"/>
    </row>
    <row r="22" spans="2:21" ht="51" hidden="1" x14ac:dyDescent="0.2">
      <c r="B22" s="17"/>
      <c r="C22" s="1" t="s">
        <v>29</v>
      </c>
      <c r="D22" s="1" t="s">
        <v>20</v>
      </c>
      <c r="E22" s="1" t="s">
        <v>28</v>
      </c>
      <c r="F22" s="6" t="s">
        <v>61</v>
      </c>
      <c r="G22" s="6"/>
      <c r="H22" s="11">
        <f t="shared" si="1"/>
        <v>12</v>
      </c>
      <c r="I22" s="16">
        <v>0.5</v>
      </c>
      <c r="J22" s="3">
        <v>0.5</v>
      </c>
      <c r="K22" s="3">
        <v>3</v>
      </c>
      <c r="L22" s="3"/>
      <c r="M22" s="3"/>
      <c r="N22" s="3"/>
      <c r="O22" s="3"/>
      <c r="P22" s="3"/>
      <c r="Q22" s="16"/>
      <c r="R22" s="16"/>
      <c r="S22" s="16">
        <v>1</v>
      </c>
      <c r="T22" s="16">
        <v>1</v>
      </c>
      <c r="U22" s="3"/>
    </row>
    <row r="23" spans="2:21" ht="51" hidden="1" x14ac:dyDescent="0.2">
      <c r="B23" s="17"/>
      <c r="C23" s="1" t="s">
        <v>37</v>
      </c>
      <c r="D23" s="1" t="s">
        <v>33</v>
      </c>
      <c r="E23" s="4" t="s">
        <v>62</v>
      </c>
      <c r="F23" s="6" t="s">
        <v>61</v>
      </c>
      <c r="G23" s="6"/>
      <c r="H23" s="11">
        <f t="shared" si="1"/>
        <v>76</v>
      </c>
      <c r="I23" s="16">
        <v>1</v>
      </c>
      <c r="J23" s="3">
        <v>5</v>
      </c>
      <c r="K23" s="3">
        <v>5</v>
      </c>
      <c r="L23" s="3">
        <v>3</v>
      </c>
      <c r="M23" s="3">
        <v>3</v>
      </c>
      <c r="N23" s="3"/>
      <c r="O23" s="3"/>
      <c r="P23" s="3"/>
      <c r="Q23" s="16">
        <v>5</v>
      </c>
      <c r="R23" s="16">
        <v>5</v>
      </c>
      <c r="S23" s="16">
        <v>4</v>
      </c>
      <c r="T23" s="16">
        <v>4</v>
      </c>
      <c r="U23" s="3">
        <v>3</v>
      </c>
    </row>
    <row r="24" spans="2:21" ht="68" hidden="1" x14ac:dyDescent="0.2">
      <c r="B24" s="17"/>
      <c r="C24" s="1" t="s">
        <v>30</v>
      </c>
      <c r="D24" s="1" t="s">
        <v>15</v>
      </c>
      <c r="E24" s="1" t="s">
        <v>31</v>
      </c>
      <c r="F24" s="6" t="s">
        <v>60</v>
      </c>
      <c r="G24" s="6"/>
      <c r="H24" s="11">
        <f t="shared" si="1"/>
        <v>46</v>
      </c>
      <c r="I24" s="16">
        <v>2</v>
      </c>
      <c r="J24" s="3">
        <v>5</v>
      </c>
      <c r="K24" s="3">
        <v>5</v>
      </c>
      <c r="L24" s="3">
        <v>3</v>
      </c>
      <c r="M24" s="3">
        <v>1</v>
      </c>
      <c r="N24" s="3"/>
      <c r="O24" s="3">
        <v>1</v>
      </c>
      <c r="P24" s="3"/>
      <c r="Q24" s="16"/>
      <c r="R24" s="16"/>
      <c r="S24" s="16">
        <v>3</v>
      </c>
      <c r="T24" s="16">
        <v>3</v>
      </c>
      <c r="U24" s="3"/>
    </row>
    <row r="25" spans="2:21" ht="51" hidden="1" x14ac:dyDescent="0.2">
      <c r="B25" s="17"/>
      <c r="C25" s="1" t="s">
        <v>44</v>
      </c>
      <c r="D25" s="1" t="s">
        <v>45</v>
      </c>
      <c r="E25" s="1" t="s">
        <v>46</v>
      </c>
      <c r="F25" s="6" t="s">
        <v>60</v>
      </c>
      <c r="G25" s="6"/>
      <c r="H25" s="11">
        <f t="shared" si="1"/>
        <v>56</v>
      </c>
      <c r="I25" s="16">
        <v>1</v>
      </c>
      <c r="J25" s="3"/>
      <c r="K25" s="3"/>
      <c r="L25" s="3"/>
      <c r="M25" s="3"/>
      <c r="N25" s="3">
        <v>10</v>
      </c>
      <c r="O25" s="3"/>
      <c r="P25" s="3"/>
      <c r="Q25" s="16">
        <v>5</v>
      </c>
      <c r="R25" s="16">
        <v>5</v>
      </c>
      <c r="S25" s="16">
        <v>3</v>
      </c>
      <c r="T25" s="16">
        <v>3</v>
      </c>
      <c r="U25" s="3">
        <v>1</v>
      </c>
    </row>
    <row r="26" spans="2:21" hidden="1" x14ac:dyDescent="0.2">
      <c r="B26" s="17"/>
      <c r="H26" s="11">
        <f t="shared" si="1"/>
        <v>0</v>
      </c>
    </row>
  </sheetData>
  <autoFilter ref="B3:U26" xr:uid="{00000000-0001-0000-0000-000000000000}">
    <filterColumn colId="4">
      <filters>
        <filter val="P1"/>
        <filter val="P2"/>
      </filters>
    </filterColumn>
  </autoFilter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Кружилин Сергей Владимирович</dc:creator>
  <cp:lastModifiedBy>Кружилин Сергей Владимирович</cp:lastModifiedBy>
  <cp:revision>1</cp:revision>
  <dcterms:created xsi:type="dcterms:W3CDTF">2026-06-23T11:43:30Z</dcterms:created>
  <dcterms:modified xsi:type="dcterms:W3CDTF">2026-06-23T18:12:46Z</dcterms:modified>
</cp:coreProperties>
</file>